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\Desktop\노경진\★축육\앱개발의 세계\oneglobal\"/>
    </mc:Choice>
  </mc:AlternateContent>
  <xr:revisionPtr revIDLastSave="0" documentId="13_ncr:1_{E0E9BE45-6AA3-4707-AEC9-9F9A998B1A9E}" xr6:coauthVersionLast="47" xr6:coauthVersionMax="47" xr10:uidLastSave="{00000000-0000-0000-0000-000000000000}"/>
  <bookViews>
    <workbookView xWindow="31665" yWindow="6225" windowWidth="24510" windowHeight="8880" xr2:uid="{7A008644-8381-4678-B4D2-06C32BA56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K5" i="1"/>
  <c r="P4" i="1"/>
  <c r="K4" i="1"/>
  <c r="P3" i="1"/>
  <c r="K3" i="1"/>
  <c r="P2" i="1"/>
  <c r="K2" i="1"/>
</calcChain>
</file>

<file path=xl/sharedStrings.xml><?xml version="1.0" encoding="utf-8"?>
<sst xmlns="http://schemas.openxmlformats.org/spreadsheetml/2006/main" count="52" uniqueCount="47">
  <si>
    <t>분류</t>
    <phoneticPr fontId="1" type="noConversion"/>
  </si>
  <si>
    <t>제조사</t>
    <phoneticPr fontId="1" type="noConversion"/>
  </si>
  <si>
    <t>품명(국문)</t>
    <phoneticPr fontId="1" type="noConversion"/>
  </si>
  <si>
    <t>규격(g)</t>
  </si>
  <si>
    <t>수량/박스</t>
  </si>
  <si>
    <t>Weight CBM/CTN - net</t>
  </si>
  <si>
    <t>Weight CBM/CTN - gross</t>
  </si>
  <si>
    <t>Weight CBM/CTN - CBM</t>
  </si>
  <si>
    <t>납품가격(원)-단가</t>
  </si>
  <si>
    <t>납품가격(원)-C/T</t>
  </si>
  <si>
    <t>CTN규격(mm)-장</t>
  </si>
  <si>
    <t>CTN규격(mm)-폭</t>
  </si>
  <si>
    <t>CTN규격(mm)-고</t>
  </si>
  <si>
    <t>오퍼가 FOB -단가</t>
  </si>
  <si>
    <t>오퍼가 FOB-C/T가격</t>
  </si>
  <si>
    <t>storage</t>
  </si>
  <si>
    <t>shelf life</t>
  </si>
  <si>
    <t>MOQ</t>
  </si>
  <si>
    <t>이미지</t>
  </si>
  <si>
    <t>Noodle</t>
    <phoneticPr fontId="1" type="noConversion"/>
  </si>
  <si>
    <t>잡채나라</t>
    <phoneticPr fontId="1" type="noConversion"/>
  </si>
  <si>
    <t>전통잡채</t>
  </si>
  <si>
    <t>Original  japchae</t>
  </si>
  <si>
    <t>room temperature</t>
    <phoneticPr fontId="1" type="noConversion"/>
  </si>
  <si>
    <t>12month</t>
    <phoneticPr fontId="1" type="noConversion"/>
  </si>
  <si>
    <t>100ctns</t>
    <phoneticPr fontId="1" type="noConversion"/>
  </si>
  <si>
    <t>Jelly</t>
    <phoneticPr fontId="1" type="noConversion"/>
  </si>
  <si>
    <t>주스망고</t>
    <phoneticPr fontId="1" type="noConversion"/>
  </si>
  <si>
    <t>주스팡 망고</t>
    <phoneticPr fontId="1" type="noConversion"/>
  </si>
  <si>
    <t>juice pang mange</t>
  </si>
  <si>
    <t>Candy</t>
    <phoneticPr fontId="1" type="noConversion"/>
  </si>
  <si>
    <t>사탕공장</t>
    <phoneticPr fontId="1" type="noConversion"/>
  </si>
  <si>
    <t>솜사탕</t>
    <phoneticPr fontId="1" type="noConversion"/>
  </si>
  <si>
    <t>Roll cake cotton candy</t>
  </si>
  <si>
    <t>11month</t>
    <phoneticPr fontId="1" type="noConversion"/>
  </si>
  <si>
    <t>300ctns</t>
    <phoneticPr fontId="1" type="noConversion"/>
  </si>
  <si>
    <t>Pancake</t>
    <phoneticPr fontId="1" type="noConversion"/>
  </si>
  <si>
    <t>쿡쿡</t>
    <phoneticPr fontId="1" type="noConversion"/>
  </si>
  <si>
    <t>컵나물전</t>
  </si>
  <si>
    <t>Cup Greens Pancake(100g)</t>
  </si>
  <si>
    <t>Ref</t>
    <phoneticPr fontId="1" type="noConversion"/>
  </si>
  <si>
    <t>24month</t>
    <phoneticPr fontId="1" type="noConversion"/>
  </si>
  <si>
    <t>product1.jpg</t>
    <phoneticPr fontId="1" type="noConversion"/>
  </si>
  <si>
    <t>product2.jpg</t>
    <phoneticPr fontId="1" type="noConversion"/>
  </si>
  <si>
    <t>product3.jpg</t>
    <phoneticPr fontId="1" type="noConversion"/>
  </si>
  <si>
    <t>product4.jpg</t>
    <phoneticPr fontId="1" type="noConversion"/>
  </si>
  <si>
    <t>Description of Goods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</si>
</sst>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80" formatCode="_-* #,##0_-;\-* #,##0_-;_-* &quot;-&quot;_-;_-@"/>
    <numFmt numFmtId="181" formatCode="0.00_);[Red]\(0.00\)"/>
    <numFmt numFmtId="182" formatCode="0.000_);[Red]\(0.000\)"/>
    <numFmt numFmtId="183" formatCode="0_);[Red]\(0\)"/>
    <numFmt numFmtId="184" formatCode="&quot;US$&quot;#,##0.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81" fontId="0" fillId="0" borderId="1" xfId="0" applyNumberFormat="1" applyBorder="1">
      <alignment vertical="center"/>
    </xf>
    <xf numFmtId="182" fontId="0" fillId="0" borderId="1" xfId="0" applyNumberFormat="1" applyBorder="1">
      <alignment vertical="center"/>
    </xf>
    <xf numFmtId="41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83" fontId="0" fillId="0" borderId="1" xfId="0" applyNumberFormat="1" applyBorder="1">
      <alignment vertical="center"/>
    </xf>
    <xf numFmtId="18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10A5-9086-4C1D-8D18-205125286DF7}">
  <dimension ref="A1:T5"/>
  <sheetViews>
    <sheetView tabSelected="1" workbookViewId="0">
      <selection activeCell="D10" sqref="D10"/>
    </sheetView>
  </sheetViews>
  <sheetFormatPr defaultRowHeight="17.399999999999999" x14ac:dyDescent="0.4"/>
  <cols>
    <col min="16" max="16" width="12.296875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4">
      <c r="A2" s="1" t="s">
        <v>19</v>
      </c>
      <c r="B2" s="1" t="s">
        <v>20</v>
      </c>
      <c r="C2" s="2" t="s">
        <v>21</v>
      </c>
      <c r="D2" s="2" t="s">
        <v>22</v>
      </c>
      <c r="E2" s="3">
        <v>230</v>
      </c>
      <c r="F2" s="4">
        <v>40</v>
      </c>
      <c r="G2" s="2">
        <v>9.1999999999999993</v>
      </c>
      <c r="H2" s="5">
        <v>10.199999999999999</v>
      </c>
      <c r="I2" s="6">
        <v>4.5999999999999999E-2</v>
      </c>
      <c r="J2" s="7">
        <v>1000</v>
      </c>
      <c r="K2" s="8">
        <f>J2*F2</f>
        <v>40000</v>
      </c>
      <c r="L2" s="9">
        <v>640</v>
      </c>
      <c r="M2" s="9">
        <v>410</v>
      </c>
      <c r="N2" s="9">
        <v>175</v>
      </c>
      <c r="O2" s="10">
        <v>3</v>
      </c>
      <c r="P2" s="10">
        <f>O2*F2</f>
        <v>120</v>
      </c>
      <c r="Q2" s="2" t="s">
        <v>23</v>
      </c>
      <c r="R2" s="2" t="s">
        <v>24</v>
      </c>
      <c r="S2" s="11" t="s">
        <v>25</v>
      </c>
      <c r="T2" s="12" t="s">
        <v>42</v>
      </c>
    </row>
    <row r="3" spans="1:20" x14ac:dyDescent="0.4">
      <c r="A3" s="1" t="s">
        <v>26</v>
      </c>
      <c r="B3" s="1" t="s">
        <v>27</v>
      </c>
      <c r="C3" s="9" t="s">
        <v>28</v>
      </c>
      <c r="D3" s="2" t="s">
        <v>29</v>
      </c>
      <c r="E3" s="3">
        <v>90</v>
      </c>
      <c r="F3" s="4">
        <v>36</v>
      </c>
      <c r="G3" s="2">
        <v>3.24</v>
      </c>
      <c r="H3" s="5">
        <v>4.24</v>
      </c>
      <c r="I3" s="6">
        <v>8.0000000000000002E-3</v>
      </c>
      <c r="J3" s="8">
        <v>300</v>
      </c>
      <c r="K3" s="8">
        <f t="shared" ref="K3:K5" si="0">J3*F3</f>
        <v>10800</v>
      </c>
      <c r="L3" s="9">
        <v>315</v>
      </c>
      <c r="M3" s="9">
        <v>240</v>
      </c>
      <c r="N3" s="9">
        <v>110</v>
      </c>
      <c r="O3" s="10">
        <v>3</v>
      </c>
      <c r="P3" s="10">
        <f t="shared" ref="P3:P5" si="1">O3*F3</f>
        <v>108</v>
      </c>
      <c r="Q3" s="2" t="s">
        <v>23</v>
      </c>
      <c r="R3" s="2" t="s">
        <v>24</v>
      </c>
      <c r="S3" s="11" t="s">
        <v>25</v>
      </c>
      <c r="T3" s="12" t="s">
        <v>43</v>
      </c>
    </row>
    <row r="4" spans="1:20" x14ac:dyDescent="0.4">
      <c r="A4" s="1" t="s">
        <v>30</v>
      </c>
      <c r="B4" s="1" t="s">
        <v>31</v>
      </c>
      <c r="C4" s="2" t="s">
        <v>32</v>
      </c>
      <c r="D4" s="2" t="s">
        <v>33</v>
      </c>
      <c r="E4" s="4">
        <v>25</v>
      </c>
      <c r="F4" s="4">
        <v>20</v>
      </c>
      <c r="G4" s="2">
        <v>0.5</v>
      </c>
      <c r="H4" s="5">
        <v>1.5</v>
      </c>
      <c r="I4" s="6">
        <v>2E-3</v>
      </c>
      <c r="J4" s="8">
        <v>500</v>
      </c>
      <c r="K4" s="8">
        <f t="shared" si="0"/>
        <v>10000</v>
      </c>
      <c r="L4" s="2">
        <v>160</v>
      </c>
      <c r="M4" s="2">
        <v>220</v>
      </c>
      <c r="N4" s="2">
        <v>50</v>
      </c>
      <c r="O4" s="10">
        <v>3</v>
      </c>
      <c r="P4" s="10">
        <f t="shared" si="1"/>
        <v>60</v>
      </c>
      <c r="Q4" s="2" t="s">
        <v>23</v>
      </c>
      <c r="R4" s="2" t="s">
        <v>34</v>
      </c>
      <c r="S4" s="11" t="s">
        <v>35</v>
      </c>
      <c r="T4" s="12" t="s">
        <v>44</v>
      </c>
    </row>
    <row r="5" spans="1:20" x14ac:dyDescent="0.4">
      <c r="A5" s="1" t="s">
        <v>36</v>
      </c>
      <c r="B5" s="1" t="s">
        <v>37</v>
      </c>
      <c r="C5" s="9" t="s">
        <v>38</v>
      </c>
      <c r="D5" s="2" t="s">
        <v>39</v>
      </c>
      <c r="E5" s="3">
        <v>100</v>
      </c>
      <c r="F5" s="4">
        <v>100</v>
      </c>
      <c r="G5" s="2">
        <v>10</v>
      </c>
      <c r="H5" s="5">
        <v>11</v>
      </c>
      <c r="I5" s="6">
        <v>6.2E-2</v>
      </c>
      <c r="J5" s="8">
        <v>4000</v>
      </c>
      <c r="K5" s="8">
        <f t="shared" si="0"/>
        <v>400000</v>
      </c>
      <c r="L5" s="9">
        <v>480</v>
      </c>
      <c r="M5" s="9">
        <v>380</v>
      </c>
      <c r="N5" s="9">
        <v>340</v>
      </c>
      <c r="O5" s="10">
        <v>3</v>
      </c>
      <c r="P5" s="10">
        <f t="shared" si="1"/>
        <v>300</v>
      </c>
      <c r="Q5" s="2" t="s">
        <v>40</v>
      </c>
      <c r="R5" s="2" t="s">
        <v>41</v>
      </c>
      <c r="S5" s="11" t="s">
        <v>25</v>
      </c>
      <c r="T5" s="1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Kyungjin Ro</dc:creator>
  <cp:lastModifiedBy>Kyungjin Ro</cp:lastModifiedBy>
  <dcterms:created xsi:type="dcterms:W3CDTF">2026-01-27T07:31:05Z</dcterms:created>
  <dcterms:modified xsi:type="dcterms:W3CDTF">2026-01-27T07:54:46Z</dcterms:modified>
</cp:coreProperties>
</file>